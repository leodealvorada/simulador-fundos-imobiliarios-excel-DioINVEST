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studos\001 Cursos Dio\Santander - Excel com Inteligência Artificial\"/>
    </mc:Choice>
  </mc:AlternateContent>
  <xr:revisionPtr revIDLastSave="0" documentId="8_{E1B292FE-C24A-4A66-AA36-033E74C23A66}" xr6:coauthVersionLast="47" xr6:coauthVersionMax="47" xr10:uidLastSave="{00000000-0000-0000-0000-000000000000}"/>
  <bookViews>
    <workbookView xWindow="-24120" yWindow="-120" windowWidth="24240" windowHeight="13020" tabRatio="380" xr2:uid="{BDCB3645-ECF7-48F9-83C8-49581BF6D071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" l="1"/>
  <c r="C25" i="1" s="1"/>
  <c r="D25" i="1" s="1"/>
  <c r="C37" i="1"/>
  <c r="D37" i="1" s="1"/>
  <c r="C38" i="1"/>
  <c r="D38" i="1" s="1"/>
  <c r="C39" i="1"/>
  <c r="D39" i="1" s="1"/>
  <c r="C40" i="1"/>
  <c r="D40" i="1" s="1"/>
  <c r="C41" i="1"/>
  <c r="D41" i="1" s="1"/>
  <c r="C36" i="1"/>
  <c r="D36" i="1" s="1"/>
  <c r="H4" i="2"/>
  <c r="A17" i="2"/>
  <c r="A18" i="2"/>
  <c r="A19" i="2"/>
  <c r="A20" i="2"/>
  <c r="A21" i="2"/>
  <c r="A16" i="2"/>
  <c r="A11" i="2"/>
  <c r="A12" i="2"/>
  <c r="A13" i="2"/>
  <c r="A14" i="2"/>
  <c r="A15" i="2"/>
  <c r="A10" i="2"/>
  <c r="A4" i="2"/>
  <c r="A5" i="2"/>
  <c r="A6" i="2"/>
  <c r="A7" i="2"/>
  <c r="A8" i="2"/>
  <c r="A9" i="2"/>
  <c r="D14" i="1"/>
  <c r="C26" i="1"/>
  <c r="D26" i="1" s="1"/>
  <c r="C27" i="1"/>
  <c r="D27" i="1" s="1"/>
  <c r="C28" i="1"/>
  <c r="D28" i="1" s="1"/>
  <c r="C24" i="1"/>
  <c r="D24" i="1" s="1"/>
  <c r="D20" i="1"/>
  <c r="D21" i="1" s="1"/>
  <c r="D42" i="1" l="1"/>
</calcChain>
</file>

<file path=xl/sharedStrings.xml><?xml version="1.0" encoding="utf-8"?>
<sst xmlns="http://schemas.openxmlformats.org/spreadsheetml/2006/main" count="71" uniqueCount="34">
  <si>
    <t>Quanto investir por mês?</t>
  </si>
  <si>
    <t>Por quantos anos?</t>
  </si>
  <si>
    <t>Taxa de rendimento mensal?</t>
  </si>
  <si>
    <t>Dividendos mensais?</t>
  </si>
  <si>
    <t>Patrimônio acumulado?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</si>
  <si>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</si>
  <si>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</si>
  <si>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</si>
  <si>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</si>
  <si>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</si>
  <si>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</si>
  <si>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</si>
  <si>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</si>
  <si>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Configurações</t>
  </si>
  <si>
    <t>Salário</t>
  </si>
  <si>
    <t>Rendimento carteira</t>
  </si>
  <si>
    <t>Sugestão de investimento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</si>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</sst>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Aptos Narrow"/>
      <family val="2"/>
    </font>
    <font>
      <sz val="11"/>
      <color theme="0"/>
      <name val="Calibri"/>
      <family val="2"/>
      <scheme val="minor"/>
    </font>
    <font>
      <b/>
      <sz val="18"/>
      <color theme="0"/>
      <name val="Aptos Narrow"/>
      <family val="2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sz val="11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6" borderId="0" applyNumberFormat="0" applyBorder="0" applyAlignment="0" applyProtection="0"/>
  </cellStyleXfs>
  <cellXfs count="81">
    <xf numFmtId="0" fontId="0" fillId="0" borderId="0" xfId="0"/>
    <xf numFmtId="0" fontId="4" fillId="0" borderId="0" xfId="0" applyFont="1"/>
    <xf numFmtId="0" fontId="3" fillId="2" borderId="2" xfId="0" applyFont="1" applyFill="1" applyBorder="1" applyAlignment="1">
      <alignment vertical="center"/>
    </xf>
    <xf numFmtId="0" fontId="0" fillId="0" borderId="0" xfId="0" applyAlignment="1">
      <alignment horizontal="center"/>
    </xf>
    <xf numFmtId="164" fontId="0" fillId="0" borderId="0" xfId="1" applyNumberFormat="1" applyFont="1" applyAlignment="1"/>
    <xf numFmtId="164" fontId="0" fillId="0" borderId="0" xfId="0" applyNumberFormat="1"/>
    <xf numFmtId="164" fontId="0" fillId="0" borderId="10" xfId="1" applyNumberFormat="1" applyFon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2" fillId="0" borderId="15" xfId="1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0" fontId="2" fillId="0" borderId="10" xfId="0" applyNumberFormat="1" applyFont="1" applyBorder="1" applyAlignment="1">
      <alignment horizontal="center"/>
    </xf>
    <xf numFmtId="8" fontId="2" fillId="3" borderId="10" xfId="0" applyNumberFormat="1" applyFont="1" applyFill="1" applyBorder="1" applyAlignment="1">
      <alignment horizontal="center"/>
    </xf>
    <xf numFmtId="8" fontId="2" fillId="3" borderId="13" xfId="0" applyNumberFormat="1" applyFont="1" applyFill="1" applyBorder="1" applyAlignment="1">
      <alignment horizontal="center"/>
    </xf>
    <xf numFmtId="8" fontId="0" fillId="4" borderId="4" xfId="0" applyNumberFormat="1" applyFill="1" applyBorder="1" applyAlignment="1">
      <alignment horizontal="center"/>
    </xf>
    <xf numFmtId="8" fontId="0" fillId="4" borderId="5" xfId="0" applyNumberFormat="1" applyFill="1" applyBorder="1" applyAlignment="1">
      <alignment horizontal="center"/>
    </xf>
    <xf numFmtId="8" fontId="0" fillId="4" borderId="15" xfId="0" applyNumberFormat="1" applyFill="1" applyBorder="1"/>
    <xf numFmtId="8" fontId="0" fillId="4" borderId="10" xfId="0" applyNumberFormat="1" applyFill="1" applyBorder="1"/>
    <xf numFmtId="8" fontId="0" fillId="4" borderId="12" xfId="0" applyNumberFormat="1" applyFill="1" applyBorder="1" applyAlignment="1">
      <alignment horizontal="center"/>
    </xf>
    <xf numFmtId="8" fontId="0" fillId="4" borderId="13" xfId="0" applyNumberFormat="1" applyFill="1" applyBorder="1"/>
    <xf numFmtId="0" fontId="6" fillId="4" borderId="9" xfId="0" applyFont="1" applyFill="1" applyBorder="1" applyAlignment="1">
      <alignment horizontal="left" indent="3"/>
    </xf>
    <xf numFmtId="0" fontId="6" fillId="4" borderId="11" xfId="0" applyFont="1" applyFill="1" applyBorder="1" applyAlignment="1">
      <alignment horizontal="left" indent="3"/>
    </xf>
    <xf numFmtId="0" fontId="6" fillId="4" borderId="14" xfId="0" applyFont="1" applyFill="1" applyBorder="1" applyAlignment="1">
      <alignment horizontal="left" indent="3"/>
    </xf>
    <xf numFmtId="0" fontId="6" fillId="4" borderId="9" xfId="0" applyFont="1" applyFill="1" applyBorder="1" applyAlignment="1">
      <alignment horizontal="left" indent="3"/>
    </xf>
    <xf numFmtId="0" fontId="6" fillId="4" borderId="5" xfId="0" applyFont="1" applyFill="1" applyBorder="1" applyAlignment="1">
      <alignment horizontal="left" indent="3"/>
    </xf>
    <xf numFmtId="0" fontId="6" fillId="4" borderId="11" xfId="0" applyFont="1" applyFill="1" applyBorder="1" applyAlignment="1">
      <alignment horizontal="left" indent="3"/>
    </xf>
    <xf numFmtId="0" fontId="6" fillId="4" borderId="12" xfId="0" applyFont="1" applyFill="1" applyBorder="1" applyAlignment="1">
      <alignment horizontal="left" indent="3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left" indent="3"/>
    </xf>
    <xf numFmtId="0" fontId="7" fillId="3" borderId="5" xfId="0" applyFont="1" applyFill="1" applyBorder="1" applyAlignment="1">
      <alignment horizontal="left" indent="3"/>
    </xf>
    <xf numFmtId="0" fontId="3" fillId="2" borderId="2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left" indent="3"/>
    </xf>
    <xf numFmtId="0" fontId="6" fillId="0" borderId="4" xfId="0" applyFont="1" applyBorder="1" applyAlignment="1">
      <alignment horizontal="left" indent="3"/>
    </xf>
    <xf numFmtId="0" fontId="6" fillId="0" borderId="9" xfId="0" applyFont="1" applyBorder="1" applyAlignment="1">
      <alignment horizontal="left" indent="3"/>
    </xf>
    <xf numFmtId="0" fontId="6" fillId="0" borderId="5" xfId="0" applyFont="1" applyBorder="1" applyAlignment="1">
      <alignment horizontal="left" indent="3"/>
    </xf>
    <xf numFmtId="0" fontId="7" fillId="3" borderId="11" xfId="0" applyFont="1" applyFill="1" applyBorder="1" applyAlignment="1">
      <alignment horizontal="left" indent="3"/>
    </xf>
    <xf numFmtId="0" fontId="7" fillId="3" borderId="12" xfId="0" applyFont="1" applyFill="1" applyBorder="1" applyAlignment="1">
      <alignment horizontal="left" indent="3"/>
    </xf>
    <xf numFmtId="0" fontId="8" fillId="6" borderId="0" xfId="3"/>
    <xf numFmtId="0" fontId="8" fillId="6" borderId="16" xfId="3" applyBorder="1"/>
    <xf numFmtId="0" fontId="8" fillId="6" borderId="17" xfId="3" applyBorder="1"/>
    <xf numFmtId="0" fontId="8" fillId="6" borderId="18" xfId="3" applyBorder="1"/>
    <xf numFmtId="0" fontId="2" fillId="7" borderId="19" xfId="0" applyFont="1" applyFill="1" applyBorder="1"/>
    <xf numFmtId="164" fontId="2" fillId="7" borderId="0" xfId="0" applyNumberFormat="1" applyFont="1" applyFill="1" applyBorder="1" applyAlignment="1">
      <alignment horizontal="center"/>
    </xf>
    <xf numFmtId="0" fontId="0" fillId="7" borderId="20" xfId="0" applyFill="1" applyBorder="1"/>
    <xf numFmtId="0" fontId="0" fillId="0" borderId="19" xfId="0" applyBorder="1"/>
    <xf numFmtId="0" fontId="0" fillId="0" borderId="0" xfId="0" applyBorder="1"/>
    <xf numFmtId="0" fontId="0" fillId="0" borderId="20" xfId="0" applyBorder="1"/>
    <xf numFmtId="0" fontId="2" fillId="7" borderId="19" xfId="0" applyFont="1" applyFill="1" applyBorder="1" applyAlignment="1">
      <alignment horizontal="center"/>
    </xf>
    <xf numFmtId="0" fontId="2" fillId="7" borderId="0" xfId="0" applyFont="1" applyFill="1" applyBorder="1"/>
    <xf numFmtId="0" fontId="2" fillId="7" borderId="20" xfId="0" applyFont="1" applyFill="1" applyBorder="1" applyAlignment="1">
      <alignment horizontal="center"/>
    </xf>
    <xf numFmtId="0" fontId="2" fillId="7" borderId="21" xfId="0" applyFont="1" applyFill="1" applyBorder="1"/>
    <xf numFmtId="0" fontId="2" fillId="7" borderId="22" xfId="0" applyFont="1" applyFill="1" applyBorder="1"/>
    <xf numFmtId="164" fontId="2" fillId="7" borderId="23" xfId="0" applyNumberFormat="1" applyFont="1" applyFill="1" applyBorder="1"/>
    <xf numFmtId="0" fontId="0" fillId="0" borderId="24" xfId="0" applyBorder="1" applyAlignment="1">
      <alignment horizontal="center"/>
    </xf>
    <xf numFmtId="9" fontId="0" fillId="0" borderId="25" xfId="0" applyNumberFormat="1" applyBorder="1" applyAlignment="1">
      <alignment horizontal="center"/>
    </xf>
    <xf numFmtId="164" fontId="0" fillId="0" borderId="26" xfId="0" applyNumberFormat="1" applyBorder="1"/>
    <xf numFmtId="0" fontId="0" fillId="0" borderId="27" xfId="0" applyBorder="1" applyAlignment="1">
      <alignment horizontal="center"/>
    </xf>
    <xf numFmtId="164" fontId="0" fillId="0" borderId="28" xfId="0" applyNumberFormat="1" applyBorder="1"/>
    <xf numFmtId="0" fontId="0" fillId="0" borderId="29" xfId="0" applyBorder="1" applyAlignment="1">
      <alignment horizontal="center"/>
    </xf>
    <xf numFmtId="164" fontId="0" fillId="0" borderId="30" xfId="0" applyNumberFormat="1" applyBorder="1"/>
    <xf numFmtId="0" fontId="0" fillId="0" borderId="0" xfId="0" applyBorder="1" applyAlignment="1">
      <alignment horizontal="center"/>
    </xf>
    <xf numFmtId="0" fontId="0" fillId="0" borderId="31" xfId="0" applyBorder="1"/>
    <xf numFmtId="0" fontId="0" fillId="0" borderId="31" xfId="0" applyBorder="1" applyAlignment="1">
      <alignment horizontal="center"/>
    </xf>
    <xf numFmtId="0" fontId="0" fillId="0" borderId="16" xfId="0" applyBorder="1"/>
    <xf numFmtId="0" fontId="2" fillId="0" borderId="17" xfId="0" applyFont="1" applyBorder="1"/>
    <xf numFmtId="0" fontId="2" fillId="0" borderId="17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9" fontId="0" fillId="0" borderId="20" xfId="2" applyNumberFormat="1" applyFont="1" applyBorder="1" applyAlignment="1">
      <alignment horizontal="center"/>
    </xf>
    <xf numFmtId="0" fontId="0" fillId="0" borderId="32" xfId="0" applyBorder="1"/>
    <xf numFmtId="9" fontId="0" fillId="0" borderId="33" xfId="2" applyNumberFormat="1" applyFont="1" applyBorder="1" applyAlignment="1">
      <alignment horizontal="center"/>
    </xf>
    <xf numFmtId="0" fontId="0" fillId="0" borderId="19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22" xfId="0" applyBorder="1"/>
    <xf numFmtId="0" fontId="0" fillId="0" borderId="22" xfId="0" applyBorder="1" applyAlignment="1">
      <alignment horizontal="center"/>
    </xf>
    <xf numFmtId="9" fontId="0" fillId="0" borderId="23" xfId="2" applyNumberFormat="1" applyFont="1" applyBorder="1" applyAlignment="1">
      <alignment horizontal="center"/>
    </xf>
    <xf numFmtId="9" fontId="8" fillId="6" borderId="0" xfId="3" applyNumberFormat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5-4F07-8709-867EDA7AE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161924</xdr:colOff>
      <xdr:row>0</xdr:row>
      <xdr:rowOff>0</xdr:rowOff>
    </xdr:from>
    <xdr:to>
      <xdr:col>4</xdr:col>
      <xdr:colOff>28575</xdr:colOff>
      <xdr:row>9</xdr:row>
      <xdr:rowOff>9228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EED8E5-DEB4-4B49-88A7-5BA6286B57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61924" y="0"/>
          <a:ext cx="7448551" cy="1723728"/>
        </a:xfrm>
        <a:prstGeom prst="rect">
          <a:avLst/>
        </a:prstGeom>
      </xdr:spPr>
    </xdr:pic>
    <xdr:clientData/>
  </xdr:twoCellAnchor>
  <xdr:twoCellAnchor>
    <xdr:from>
      <xdr:col>1</xdr:col>
      <xdr:colOff>1343025</xdr:colOff>
      <xdr:row>42</xdr:row>
      <xdr:rowOff>119062</xdr:rowOff>
    </xdr:from>
    <xdr:to>
      <xdr:col>2</xdr:col>
      <xdr:colOff>1933575</xdr:colOff>
      <xdr:row>57</xdr:row>
      <xdr:rowOff>4762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8380A33-9043-9AAE-A3F3-C421E57A5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3903C-D56D-4127-BA48-C2ECCD413C2E}">
  <dimension ref="A10:I72"/>
  <sheetViews>
    <sheetView showGridLines="0" tabSelected="1" workbookViewId="0">
      <selection activeCell="D52" sqref="D52"/>
    </sheetView>
  </sheetViews>
  <sheetFormatPr defaultColWidth="0" defaultRowHeight="15" x14ac:dyDescent="0.25"/>
  <cols>
    <col min="1" max="1" width="3" bestFit="1" customWidth="1"/>
    <col min="2" max="2" width="59.7109375" customWidth="1"/>
    <col min="3" max="3" width="31.28515625" bestFit="1" customWidth="1"/>
    <col min="4" max="4" width="19.7109375" bestFit="1" customWidth="1"/>
    <col min="5" max="5" width="2" customWidth="1"/>
    <col min="6" max="6" width="2.42578125" customWidth="1"/>
    <col min="7" max="9" width="2.140625" customWidth="1"/>
    <col min="10" max="11" width="9.140625" hidden="1" customWidth="1"/>
    <col min="12" max="16384" width="9.140625" hidden="1"/>
  </cols>
  <sheetData>
    <row r="10" spans="2:7" ht="15.75" thickBot="1" x14ac:dyDescent="0.3"/>
    <row r="11" spans="2:7" ht="24" x14ac:dyDescent="0.25">
      <c r="B11" s="27" t="s">
        <v>13</v>
      </c>
      <c r="C11" s="28"/>
      <c r="D11" s="29"/>
    </row>
    <row r="12" spans="2:7" ht="15.75" x14ac:dyDescent="0.25">
      <c r="B12" s="23" t="s">
        <v>14</v>
      </c>
      <c r="C12" s="24"/>
      <c r="D12" s="6">
        <v>4200</v>
      </c>
    </row>
    <row r="13" spans="2:7" ht="15.75" x14ac:dyDescent="0.25">
      <c r="B13" s="23" t="s">
        <v>15</v>
      </c>
      <c r="C13" s="24"/>
      <c r="D13" s="7">
        <v>8.9999999999999993E-3</v>
      </c>
    </row>
    <row r="14" spans="2:7" ht="21" customHeight="1" thickBot="1" x14ac:dyDescent="0.3">
      <c r="B14" s="25" t="s">
        <v>16</v>
      </c>
      <c r="C14" s="26"/>
      <c r="D14" s="8">
        <f>D12*30%</f>
        <v>1260</v>
      </c>
    </row>
    <row r="15" spans="2:7" ht="21" customHeight="1" thickBot="1" x14ac:dyDescent="0.3">
      <c r="C15" s="5"/>
    </row>
    <row r="16" spans="2:7" ht="38.25" customHeight="1" x14ac:dyDescent="0.25">
      <c r="B16" s="30" t="s">
        <v>5</v>
      </c>
      <c r="C16" s="31"/>
      <c r="D16" s="34"/>
      <c r="G16" s="3"/>
    </row>
    <row r="17" spans="1:7" ht="15.75" x14ac:dyDescent="0.25">
      <c r="B17" s="35" t="s">
        <v>0</v>
      </c>
      <c r="C17" s="36"/>
      <c r="D17" s="9">
        <f>C33</f>
        <v>60</v>
      </c>
      <c r="G17" s="4"/>
    </row>
    <row r="18" spans="1:7" ht="15.75" x14ac:dyDescent="0.25">
      <c r="B18" s="37" t="s">
        <v>1</v>
      </c>
      <c r="C18" s="38"/>
      <c r="D18" s="10">
        <v>10</v>
      </c>
    </row>
    <row r="19" spans="1:7" ht="15.75" x14ac:dyDescent="0.25">
      <c r="B19" s="37" t="s">
        <v>2</v>
      </c>
      <c r="C19" s="38"/>
      <c r="D19" s="11">
        <v>1.0789999999999999E-2</v>
      </c>
    </row>
    <row r="20" spans="1:7" ht="15.75" x14ac:dyDescent="0.25">
      <c r="B20" s="32" t="s">
        <v>4</v>
      </c>
      <c r="C20" s="33"/>
      <c r="D20" s="12">
        <f>FV(D19,D18*12,D17*-1)</f>
        <v>14597.052751810332</v>
      </c>
    </row>
    <row r="21" spans="1:7" ht="16.5" thickBot="1" x14ac:dyDescent="0.3">
      <c r="B21" s="39" t="s">
        <v>3</v>
      </c>
      <c r="C21" s="40"/>
      <c r="D21" s="13">
        <f>D20*$D$13</f>
        <v>131.37347476629299</v>
      </c>
    </row>
    <row r="22" spans="1:7" ht="20.25" customHeight="1" thickBot="1" x14ac:dyDescent="0.3"/>
    <row r="23" spans="1:7" ht="26.25" x14ac:dyDescent="0.25">
      <c r="B23" s="30" t="s">
        <v>11</v>
      </c>
      <c r="C23" s="31"/>
      <c r="D23" s="2" t="s">
        <v>12</v>
      </c>
    </row>
    <row r="24" spans="1:7" ht="15.75" x14ac:dyDescent="0.25">
      <c r="A24" s="1">
        <v>2</v>
      </c>
      <c r="B24" s="22" t="s">
        <v>6</v>
      </c>
      <c r="C24" s="14">
        <f>FV($D$19,$A24*12,$D$17*-1)</f>
        <v>1633.6576378587131</v>
      </c>
      <c r="D24" s="16">
        <f>C24*$D$13</f>
        <v>14.702918740728416</v>
      </c>
    </row>
    <row r="25" spans="1:7" ht="15.75" x14ac:dyDescent="0.25">
      <c r="A25" s="1">
        <v>5</v>
      </c>
      <c r="B25" s="20" t="s">
        <v>7</v>
      </c>
      <c r="C25" s="15">
        <f>FV($D$19,$A25*12,$D$17*-1)</f>
        <v>5026.614839909259</v>
      </c>
      <c r="D25" s="17">
        <f>C25*$D$13</f>
        <v>45.239533559183329</v>
      </c>
    </row>
    <row r="26" spans="1:7" ht="15.75" x14ac:dyDescent="0.25">
      <c r="A26" s="1">
        <v>10</v>
      </c>
      <c r="B26" s="20" t="s">
        <v>8</v>
      </c>
      <c r="C26" s="15">
        <f>FV($D$19,$A26*12,$D$17*-1)</f>
        <v>14597.052751810332</v>
      </c>
      <c r="D26" s="17">
        <f>C26*$D$13</f>
        <v>131.37347476629299</v>
      </c>
    </row>
    <row r="27" spans="1:7" ht="15.75" x14ac:dyDescent="0.25">
      <c r="A27" s="1">
        <v>20</v>
      </c>
      <c r="B27" s="20" t="s">
        <v>9</v>
      </c>
      <c r="C27" s="15">
        <f>FV($D$19,$A27*12,$D$17*-1)</f>
        <v>67511.904005824836</v>
      </c>
      <c r="D27" s="17">
        <f>C27*$D$13</f>
        <v>607.60713605242347</v>
      </c>
    </row>
    <row r="28" spans="1:7" ht="16.5" thickBot="1" x14ac:dyDescent="0.3">
      <c r="A28" s="1">
        <v>30</v>
      </c>
      <c r="B28" s="21" t="s">
        <v>10</v>
      </c>
      <c r="C28" s="18">
        <f>FV($D$19,$A28*12,$D$17*-1)</f>
        <v>259330.17930028288</v>
      </c>
      <c r="D28" s="19">
        <f>C28*$D$13</f>
        <v>2333.9716137025457</v>
      </c>
    </row>
    <row r="32" spans="1:7" x14ac:dyDescent="0.25">
      <c r="B32" s="42" t="s">
        <v>21</v>
      </c>
      <c r="C32" s="43" t="s">
        <v>19</v>
      </c>
      <c r="D32" s="44"/>
    </row>
    <row r="33" spans="2:4" x14ac:dyDescent="0.25">
      <c r="B33" s="45" t="s">
        <v>20</v>
      </c>
      <c r="C33" s="46">
        <v>60</v>
      </c>
      <c r="D33" s="47"/>
    </row>
    <row r="34" spans="2:4" x14ac:dyDescent="0.25">
      <c r="B34" s="48"/>
      <c r="C34" s="49"/>
      <c r="D34" s="50"/>
    </row>
    <row r="35" spans="2:4" x14ac:dyDescent="0.25">
      <c r="B35" s="51" t="s">
        <v>22</v>
      </c>
      <c r="C35" s="52" t="s">
        <v>23</v>
      </c>
      <c r="D35" s="53" t="s">
        <v>24</v>
      </c>
    </row>
    <row r="36" spans="2:4" x14ac:dyDescent="0.25">
      <c r="B36" s="57" t="s">
        <v>25</v>
      </c>
      <c r="C36" s="58">
        <f>VLOOKUP($C$32&amp;"-"&amp;B36,Planilha2!$A:$D,4,FALSE)</f>
        <v>0.5</v>
      </c>
      <c r="D36" s="59">
        <f>C36*$C$33</f>
        <v>30</v>
      </c>
    </row>
    <row r="37" spans="2:4" x14ac:dyDescent="0.25">
      <c r="B37" s="60" t="s">
        <v>26</v>
      </c>
      <c r="C37" s="58">
        <f>VLOOKUP($C$32&amp;"-"&amp;B37,Planilha2!$A:$D,4,FALSE)</f>
        <v>0.1</v>
      </c>
      <c r="D37" s="61">
        <f t="shared" ref="D37:D41" si="0">C37*$C$33</f>
        <v>6</v>
      </c>
    </row>
    <row r="38" spans="2:4" x14ac:dyDescent="0.25">
      <c r="B38" s="60" t="s">
        <v>27</v>
      </c>
      <c r="C38" s="58">
        <f>VLOOKUP($C$32&amp;"-"&amp;B38,Planilha2!$A:$D,4,FALSE)</f>
        <v>0.05</v>
      </c>
      <c r="D38" s="61">
        <f t="shared" si="0"/>
        <v>3</v>
      </c>
    </row>
    <row r="39" spans="2:4" x14ac:dyDescent="0.25">
      <c r="B39" s="60" t="s">
        <v>28</v>
      </c>
      <c r="C39" s="58">
        <f>VLOOKUP($C$32&amp;"-"&amp;B39,Planilha2!$A:$D,4,FALSE)</f>
        <v>0.05</v>
      </c>
      <c r="D39" s="61">
        <f t="shared" si="0"/>
        <v>3</v>
      </c>
    </row>
    <row r="40" spans="2:4" x14ac:dyDescent="0.25">
      <c r="B40" s="60" t="s">
        <v>29</v>
      </c>
      <c r="C40" s="58">
        <f>VLOOKUP($C$32&amp;"-"&amp;B40,Planilha2!$A:$D,4,FALSE)</f>
        <v>0.2</v>
      </c>
      <c r="D40" s="61">
        <f t="shared" si="0"/>
        <v>12</v>
      </c>
    </row>
    <row r="41" spans="2:4" x14ac:dyDescent="0.25">
      <c r="B41" s="62" t="s">
        <v>30</v>
      </c>
      <c r="C41" s="58">
        <f>VLOOKUP($C$32&amp;"-"&amp;B41,Planilha2!$A:$D,4,FALSE)</f>
        <v>0.1</v>
      </c>
      <c r="D41" s="63">
        <f t="shared" si="0"/>
        <v>6</v>
      </c>
    </row>
    <row r="42" spans="2:4" x14ac:dyDescent="0.25">
      <c r="B42" s="54"/>
      <c r="C42" s="55"/>
      <c r="D42" s="56">
        <f>SUM(D36:D41)</f>
        <v>60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</sheetData>
  <mergeCells count="11">
    <mergeCell ref="B12:C12"/>
    <mergeCell ref="B13:C13"/>
    <mergeCell ref="B14:C14"/>
    <mergeCell ref="B11:D11"/>
    <mergeCell ref="B23:C23"/>
    <mergeCell ref="B20:C20"/>
    <mergeCell ref="B16:D16"/>
    <mergeCell ref="B17:C17"/>
    <mergeCell ref="B18:C18"/>
    <mergeCell ref="B19:C19"/>
    <mergeCell ref="B21:C21"/>
  </mergeCells>
  <dataValidations count="1">
    <dataValidation type="list" allowBlank="1" showInputMessage="1" showErrorMessage="1" sqref="C32" xr:uid="{AF9CE817-3D1B-4E37-A73D-F70A71B126D2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C606-87FF-41E4-B65B-FDDB928034BB}">
  <dimension ref="A3:H21"/>
  <sheetViews>
    <sheetView workbookViewId="0">
      <selection activeCell="F15" sqref="F15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19" bestFit="1" customWidth="1"/>
    <col min="4" max="4" width="10.140625" bestFit="1" customWidth="1"/>
    <col min="7" max="7" width="17" bestFit="1" customWidth="1"/>
  </cols>
  <sheetData>
    <row r="3" spans="1:8" x14ac:dyDescent="0.25">
      <c r="A3" s="67" t="s">
        <v>32</v>
      </c>
      <c r="B3" s="68" t="s">
        <v>21</v>
      </c>
      <c r="C3" s="69" t="s">
        <v>22</v>
      </c>
      <c r="D3" s="70" t="s">
        <v>31</v>
      </c>
      <c r="H3" s="3" t="s">
        <v>31</v>
      </c>
    </row>
    <row r="4" spans="1:8" x14ac:dyDescent="0.25">
      <c r="A4" s="48" t="str">
        <f>$B$4&amp;"-"&amp;C4</f>
        <v>Conservador-PAPEL</v>
      </c>
      <c r="B4" s="49" t="s">
        <v>17</v>
      </c>
      <c r="C4" s="64" t="s">
        <v>25</v>
      </c>
      <c r="D4" s="71">
        <v>0.3</v>
      </c>
      <c r="G4" s="41" t="s">
        <v>33</v>
      </c>
      <c r="H4" s="80">
        <f>VLOOKUP(G4,$A:$D,4,FALSE)</f>
        <v>0.35</v>
      </c>
    </row>
    <row r="5" spans="1:8" x14ac:dyDescent="0.25">
      <c r="A5" s="48" t="str">
        <f t="shared" ref="A5:A21" si="0">$B$4&amp;"-"&amp;C5</f>
        <v>Conservador-TIJOLO</v>
      </c>
      <c r="B5" s="49" t="s">
        <v>17</v>
      </c>
      <c r="C5" s="64" t="s">
        <v>26</v>
      </c>
      <c r="D5" s="71">
        <v>0.5</v>
      </c>
    </row>
    <row r="6" spans="1:8" x14ac:dyDescent="0.25">
      <c r="A6" s="48" t="str">
        <f t="shared" si="0"/>
        <v>Conservador-HÍBRIDOS</v>
      </c>
      <c r="B6" s="49" t="s">
        <v>17</v>
      </c>
      <c r="C6" s="64" t="s">
        <v>27</v>
      </c>
      <c r="D6" s="71">
        <v>0.1</v>
      </c>
    </row>
    <row r="7" spans="1:8" x14ac:dyDescent="0.25">
      <c r="A7" s="48" t="str">
        <f t="shared" si="0"/>
        <v>Conservador-FOFs</v>
      </c>
      <c r="B7" s="49" t="s">
        <v>17</v>
      </c>
      <c r="C7" s="64" t="s">
        <v>28</v>
      </c>
      <c r="D7" s="71">
        <v>0.1</v>
      </c>
    </row>
    <row r="8" spans="1:8" x14ac:dyDescent="0.25">
      <c r="A8" s="48" t="str">
        <f t="shared" si="0"/>
        <v>Conservador-DESENVOLVIMENTO</v>
      </c>
      <c r="B8" s="49" t="s">
        <v>17</v>
      </c>
      <c r="C8" s="64" t="s">
        <v>29</v>
      </c>
      <c r="D8" s="71">
        <v>0</v>
      </c>
    </row>
    <row r="9" spans="1:8" ht="15.75" thickBot="1" x14ac:dyDescent="0.3">
      <c r="A9" s="72" t="str">
        <f t="shared" si="0"/>
        <v>Conservador-HOTELARIAS</v>
      </c>
      <c r="B9" s="65" t="s">
        <v>17</v>
      </c>
      <c r="C9" s="66" t="s">
        <v>30</v>
      </c>
      <c r="D9" s="73">
        <v>0</v>
      </c>
    </row>
    <row r="10" spans="1:8" x14ac:dyDescent="0.25">
      <c r="A10" s="74" t="str">
        <f>$B$10&amp;"-"&amp;C4</f>
        <v>Moderado-PAPEL</v>
      </c>
      <c r="B10" s="49" t="s">
        <v>18</v>
      </c>
      <c r="C10" s="64" t="s">
        <v>25</v>
      </c>
      <c r="D10" s="71">
        <v>0.32</v>
      </c>
    </row>
    <row r="11" spans="1:8" x14ac:dyDescent="0.25">
      <c r="A11" s="74" t="str">
        <f>$B$10&amp;"-"&amp;C5</f>
        <v>Moderado-TIJOLO</v>
      </c>
      <c r="B11" s="49" t="s">
        <v>18</v>
      </c>
      <c r="C11" s="64" t="s">
        <v>26</v>
      </c>
      <c r="D11" s="71">
        <v>0.35</v>
      </c>
    </row>
    <row r="12" spans="1:8" x14ac:dyDescent="0.25">
      <c r="A12" s="74" t="str">
        <f t="shared" ref="A11:A21" si="1">$B$10&amp;"-"&amp;C6</f>
        <v>Moderado-HÍBRIDOS</v>
      </c>
      <c r="B12" s="49" t="s">
        <v>18</v>
      </c>
      <c r="C12" s="64" t="s">
        <v>27</v>
      </c>
      <c r="D12" s="71">
        <v>0.08</v>
      </c>
    </row>
    <row r="13" spans="1:8" x14ac:dyDescent="0.25">
      <c r="A13" s="74" t="str">
        <f t="shared" si="1"/>
        <v>Moderado-FOFs</v>
      </c>
      <c r="B13" s="49" t="s">
        <v>18</v>
      </c>
      <c r="C13" s="64" t="s">
        <v>28</v>
      </c>
      <c r="D13" s="71">
        <v>0.05</v>
      </c>
    </row>
    <row r="14" spans="1:8" x14ac:dyDescent="0.25">
      <c r="A14" s="74" t="str">
        <f t="shared" si="1"/>
        <v>Moderado-DESENVOLVIMENTO</v>
      </c>
      <c r="B14" s="49" t="s">
        <v>18</v>
      </c>
      <c r="C14" s="64" t="s">
        <v>29</v>
      </c>
      <c r="D14" s="71">
        <v>0.1</v>
      </c>
    </row>
    <row r="15" spans="1:8" ht="15.75" thickBot="1" x14ac:dyDescent="0.3">
      <c r="A15" s="75" t="str">
        <f t="shared" si="1"/>
        <v>Moderado-HOTELARIAS</v>
      </c>
      <c r="B15" s="65" t="s">
        <v>18</v>
      </c>
      <c r="C15" s="66" t="s">
        <v>30</v>
      </c>
      <c r="D15" s="73">
        <v>0.1</v>
      </c>
    </row>
    <row r="16" spans="1:8" x14ac:dyDescent="0.25">
      <c r="A16" s="74" t="str">
        <f>$B$16&amp;"-"&amp;C4</f>
        <v>Agressivo-PAPEL</v>
      </c>
      <c r="B16" s="49" t="s">
        <v>19</v>
      </c>
      <c r="C16" s="64" t="s">
        <v>25</v>
      </c>
      <c r="D16" s="71">
        <v>0.5</v>
      </c>
    </row>
    <row r="17" spans="1:4" x14ac:dyDescent="0.25">
      <c r="A17" s="74" t="str">
        <f t="shared" ref="A17:A21" si="2">$B$16&amp;"-"&amp;C5</f>
        <v>Agressivo-TIJOLO</v>
      </c>
      <c r="B17" s="49" t="s">
        <v>19</v>
      </c>
      <c r="C17" s="64" t="s">
        <v>26</v>
      </c>
      <c r="D17" s="71">
        <v>0.1</v>
      </c>
    </row>
    <row r="18" spans="1:4" x14ac:dyDescent="0.25">
      <c r="A18" s="74" t="str">
        <f t="shared" si="2"/>
        <v>Agressivo-HÍBRIDOS</v>
      </c>
      <c r="B18" s="49" t="s">
        <v>19</v>
      </c>
      <c r="C18" s="64" t="s">
        <v>27</v>
      </c>
      <c r="D18" s="71">
        <v>0.05</v>
      </c>
    </row>
    <row r="19" spans="1:4" x14ac:dyDescent="0.25">
      <c r="A19" s="74" t="str">
        <f t="shared" si="2"/>
        <v>Agressivo-FOFs</v>
      </c>
      <c r="B19" s="49" t="s">
        <v>19</v>
      </c>
      <c r="C19" s="64" t="s">
        <v>28</v>
      </c>
      <c r="D19" s="71">
        <v>0.05</v>
      </c>
    </row>
    <row r="20" spans="1:4" x14ac:dyDescent="0.25">
      <c r="A20" s="74" t="str">
        <f t="shared" si="2"/>
        <v>Agressivo-DESENVOLVIMENTO</v>
      </c>
      <c r="B20" s="49" t="s">
        <v>19</v>
      </c>
      <c r="C20" s="64" t="s">
        <v>29</v>
      </c>
      <c r="D20" s="71">
        <v>0.2</v>
      </c>
    </row>
    <row r="21" spans="1:4" x14ac:dyDescent="0.25">
      <c r="A21" s="76" t="str">
        <f t="shared" si="2"/>
        <v>Agressivo-HOTELARIAS</v>
      </c>
      <c r="B21" s="77" t="s">
        <v>19</v>
      </c>
      <c r="C21" s="78" t="s">
        <v>30</v>
      </c>
      <c r="D21" s="7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Cardoso</dc:creator>
  <cp:lastModifiedBy>Leonardo Cardoso</cp:lastModifiedBy>
  <dcterms:created xsi:type="dcterms:W3CDTF">2026-03-17T00:32:51Z</dcterms:created>
  <dcterms:modified xsi:type="dcterms:W3CDTF">2026-03-30T02:03:19Z</dcterms:modified>
</cp:coreProperties>
</file>